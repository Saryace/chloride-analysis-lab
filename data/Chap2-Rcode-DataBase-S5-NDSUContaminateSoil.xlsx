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55" documentId="11_E60897F41BE170836B02CE998F75CCDC64E183C8" xr6:coauthVersionLast="47" xr6:coauthVersionMax="47" xr10:uidLastSave="{74CAB17C-B200-472C-9783-62A75426F974}"/>
  <bookViews>
    <workbookView xWindow="240" yWindow="105" windowWidth="14805" windowHeight="8010" firstSheet="1" activeTab="1" xr2:uid="{00000000-000D-0000-FFFF-FFFF00000000}"/>
  </bookViews>
  <sheets>
    <sheet name="Sheet1" sheetId="3" r:id="rId1"/>
    <sheet name="selected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L3" i="4"/>
  <c r="M3" i="4"/>
  <c r="K4" i="4"/>
  <c r="L4" i="4"/>
  <c r="M4" i="4"/>
  <c r="K5" i="4"/>
  <c r="L5" i="4"/>
  <c r="M5" i="4"/>
  <c r="K6" i="4"/>
  <c r="L6" i="4"/>
  <c r="M6" i="4"/>
  <c r="K7" i="4"/>
  <c r="L7" i="4"/>
  <c r="M7" i="4"/>
  <c r="K8" i="4"/>
  <c r="L8" i="4"/>
  <c r="M8" i="4"/>
  <c r="K9" i="4"/>
  <c r="L9" i="4"/>
  <c r="M9" i="4"/>
  <c r="K10" i="4"/>
  <c r="L10" i="4"/>
  <c r="M10" i="4"/>
  <c r="K2" i="4"/>
  <c r="L2" i="4"/>
  <c r="M2" i="4"/>
  <c r="J3" i="4"/>
  <c r="J4" i="4"/>
  <c r="J5" i="4"/>
  <c r="J6" i="4"/>
  <c r="J7" i="4"/>
  <c r="J8" i="4"/>
  <c r="J9" i="4"/>
  <c r="J10" i="4"/>
  <c r="J2" i="4"/>
</calcChain>
</file>

<file path=xl/sharedStrings.xml><?xml version="1.0" encoding="utf-8"?>
<sst xmlns="http://schemas.openxmlformats.org/spreadsheetml/2006/main" count="53" uniqueCount="31">
  <si>
    <t>ID</t>
  </si>
  <si>
    <t>Description</t>
  </si>
  <si>
    <t>EC</t>
  </si>
  <si>
    <t>pH</t>
  </si>
  <si>
    <t>TS</t>
  </si>
  <si>
    <t>PT</t>
  </si>
  <si>
    <t>MT</t>
  </si>
  <si>
    <t>ICP</t>
  </si>
  <si>
    <t>IC</t>
  </si>
  <si>
    <t>Pasternak E. Wall</t>
  </si>
  <si>
    <t>&lt;30</t>
  </si>
  <si>
    <t>Williston sand</t>
  </si>
  <si>
    <t>121</t>
  </si>
  <si>
    <t>ZIG</t>
  </si>
  <si>
    <t>1163</t>
  </si>
  <si>
    <t>Glenburn</t>
  </si>
  <si>
    <t>1419</t>
  </si>
  <si>
    <t>1939</t>
  </si>
  <si>
    <t>Watford City</t>
  </si>
  <si>
    <t>2459</t>
  </si>
  <si>
    <t>2782</t>
  </si>
  <si>
    <t>3777</t>
  </si>
  <si>
    <t>Montana Sam</t>
  </si>
  <si>
    <t>4383</t>
  </si>
  <si>
    <t>Texas</t>
  </si>
  <si>
    <t>&gt;6677</t>
  </si>
  <si>
    <t>Set</t>
  </si>
  <si>
    <t>logMT</t>
  </si>
  <si>
    <t>logPT</t>
  </si>
  <si>
    <t>logICP</t>
  </si>
  <si>
    <t>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</si>
</sst>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6"/>
      <color rgb="FF000000"/>
      <name val="Arial"/>
      <family val="2"/>
    </font>
    <font>
      <b/>
      <sz val="18"/>
      <color rgb="FF000000"/>
      <name val="Arial"/>
      <family val="2"/>
    </font>
    <font>
      <sz val="16"/>
      <name val="Arial"/>
      <family val="2"/>
    </font>
    <font>
      <sz val="16"/>
      <color rgb="FF000000"/>
      <name val="Arial"/>
    </font>
    <font>
      <sz val="16"/>
      <color rgb="FF000000"/>
      <name val="Arial"/>
      <family val="2"/>
    </font>
    <font>
      <sz val="16"/>
      <color theme="1"/>
      <name val="Arial"/>
    </font>
    <font>
      <sz val="18"/>
      <color rgb="FF000000"/>
      <name val="Calibri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b/>
      <sz val="12"/>
      <color rgb="FF000000"/>
      <name val="Arial"/>
    </font>
    <font>
      <sz val="12"/>
      <name val="Arial"/>
    </font>
    <font>
      <sz val="12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E694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2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2" fontId="8" fillId="0" borderId="1" xfId="0" applyNumberFormat="1" applyFont="1" applyBorder="1"/>
    <xf numFmtId="2" fontId="2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9" fillId="0" borderId="1" xfId="0" applyFont="1" applyBorder="1" applyAlignment="1">
      <alignment horizontal="center"/>
    </xf>
    <xf numFmtId="0" fontId="12" fillId="0" borderId="1" xfId="0" applyFont="1" applyBorder="1"/>
    <xf numFmtId="0" fontId="10" fillId="0" borderId="1" xfId="0" applyFont="1" applyBorder="1"/>
    <xf numFmtId="2" fontId="12" fillId="0" borderId="1" xfId="0" applyNumberFormat="1" applyFont="1" applyBorder="1"/>
    <xf numFmtId="2" fontId="13" fillId="0" borderId="1" xfId="0" applyNumberFormat="1" applyFont="1" applyBorder="1"/>
    <xf numFmtId="2" fontId="1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0DA2-D5F0-41E3-ADF4-736EDC6649CF}">
  <dimension ref="A1:I12"/>
  <sheetViews>
    <sheetView workbookViewId="0">
      <selection activeCell="I2" sqref="I2"/>
    </sheetView>
  </sheetViews>
  <sheetFormatPr defaultRowHeight="15"/>
  <cols>
    <col min="1" max="1" width="6.5703125" bestFit="1" customWidth="1"/>
    <col min="2" max="2" width="25.42578125" bestFit="1" customWidth="1"/>
    <col min="3" max="3" width="10.5703125" bestFit="1" customWidth="1"/>
    <col min="4" max="4" width="7.28515625" bestFit="1" customWidth="1"/>
    <col min="5" max="5" width="9.85546875" bestFit="1" customWidth="1"/>
    <col min="6" max="6" width="12.28515625" bestFit="1" customWidth="1"/>
    <col min="7" max="7" width="10" bestFit="1" customWidth="1"/>
    <col min="8" max="8" width="12.7109375" bestFit="1" customWidth="1"/>
    <col min="9" max="9" width="12.28515625" bestFit="1" customWidth="1"/>
  </cols>
  <sheetData>
    <row r="1" spans="1:9" ht="59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</row>
    <row r="2" spans="1:9" ht="23.25">
      <c r="A2" s="8">
        <v>277</v>
      </c>
      <c r="B2" s="8" t="s">
        <v>9</v>
      </c>
      <c r="C2" s="9">
        <v>0.12959999999999999</v>
      </c>
      <c r="D2" s="10">
        <v>8.4499999999999993</v>
      </c>
      <c r="E2" s="11" t="s">
        <v>10</v>
      </c>
      <c r="F2" s="12">
        <v>5.3220000000000001</v>
      </c>
      <c r="G2" s="13">
        <v>15</v>
      </c>
      <c r="H2" s="14">
        <v>7</v>
      </c>
      <c r="I2" s="12">
        <v>18.212</v>
      </c>
    </row>
    <row r="3" spans="1:9" ht="23.25">
      <c r="A3" s="8">
        <v>280</v>
      </c>
      <c r="B3" s="8" t="s">
        <v>11</v>
      </c>
      <c r="C3" s="9">
        <v>0.67200000000000004</v>
      </c>
      <c r="D3" s="10">
        <v>7.6</v>
      </c>
      <c r="E3" s="11" t="s">
        <v>12</v>
      </c>
      <c r="F3" s="12">
        <v>95.165999999999997</v>
      </c>
      <c r="G3" s="13">
        <v>282</v>
      </c>
      <c r="H3" s="14">
        <v>106</v>
      </c>
      <c r="I3" s="12">
        <v>126.806</v>
      </c>
    </row>
    <row r="4" spans="1:9" ht="23.25">
      <c r="A4" s="8">
        <v>275</v>
      </c>
      <c r="B4" s="8" t="s">
        <v>13</v>
      </c>
      <c r="C4" s="9">
        <v>4.2300000000000004</v>
      </c>
      <c r="D4" s="10">
        <v>7.66</v>
      </c>
      <c r="E4" s="11" t="s">
        <v>14</v>
      </c>
      <c r="F4" s="12">
        <v>1229.04</v>
      </c>
      <c r="G4" s="13">
        <v>3129</v>
      </c>
      <c r="H4" s="14">
        <v>1180</v>
      </c>
      <c r="I4" s="15">
        <v>1123.4690000000001</v>
      </c>
    </row>
    <row r="5" spans="1:9" ht="23.25">
      <c r="A5" s="8">
        <v>272</v>
      </c>
      <c r="B5" s="8" t="s">
        <v>15</v>
      </c>
      <c r="C5" s="9">
        <v>5.38</v>
      </c>
      <c r="D5" s="10">
        <v>7.36</v>
      </c>
      <c r="E5" s="11" t="s">
        <v>16</v>
      </c>
      <c r="F5" s="12">
        <v>1414.6000000000001</v>
      </c>
      <c r="G5" s="13">
        <v>3355</v>
      </c>
      <c r="H5" s="14">
        <v>1300</v>
      </c>
      <c r="I5" s="15">
        <v>1283.039</v>
      </c>
    </row>
    <row r="6" spans="1:9" ht="23.25">
      <c r="A6" s="8">
        <v>270</v>
      </c>
      <c r="B6" s="8" t="s">
        <v>15</v>
      </c>
      <c r="C6" s="9">
        <v>7.18</v>
      </c>
      <c r="D6" s="10">
        <v>7.13</v>
      </c>
      <c r="E6" s="11" t="s">
        <v>16</v>
      </c>
      <c r="F6" s="12">
        <v>1416.1799999999998</v>
      </c>
      <c r="G6" s="13">
        <v>3475</v>
      </c>
      <c r="H6" s="14">
        <v>1268</v>
      </c>
      <c r="I6" s="15">
        <v>1295.1010000000001</v>
      </c>
    </row>
    <row r="7" spans="1:9" ht="23.25">
      <c r="A7" s="8">
        <v>271</v>
      </c>
      <c r="B7" s="8" t="s">
        <v>15</v>
      </c>
      <c r="C7" s="9">
        <v>7.77</v>
      </c>
      <c r="D7" s="10">
        <v>7.25</v>
      </c>
      <c r="E7" s="11" t="s">
        <v>17</v>
      </c>
      <c r="F7" s="12">
        <v>2085.6</v>
      </c>
      <c r="G7" s="13">
        <v>4795</v>
      </c>
      <c r="H7" s="14">
        <v>2000</v>
      </c>
      <c r="I7" s="12">
        <v>1929.3689999999999</v>
      </c>
    </row>
    <row r="8" spans="1:9" ht="23.25">
      <c r="A8" s="8">
        <v>274</v>
      </c>
      <c r="B8" s="8" t="s">
        <v>18</v>
      </c>
      <c r="C8" s="9">
        <v>6.71</v>
      </c>
      <c r="D8" s="10">
        <v>7.68</v>
      </c>
      <c r="E8" s="11" t="s">
        <v>19</v>
      </c>
      <c r="F8" s="12">
        <v>2319.9899999999998</v>
      </c>
      <c r="G8" s="13">
        <v>5833</v>
      </c>
      <c r="H8" s="14">
        <v>2176</v>
      </c>
      <c r="I8" s="12">
        <v>2148.7919999999999</v>
      </c>
    </row>
    <row r="9" spans="1:9" ht="23.25">
      <c r="A9" s="8">
        <v>278</v>
      </c>
      <c r="B9" s="8" t="s">
        <v>9</v>
      </c>
      <c r="C9" s="9">
        <v>7.89</v>
      </c>
      <c r="D9" s="10">
        <v>7.9</v>
      </c>
      <c r="E9" s="11" t="s">
        <v>20</v>
      </c>
      <c r="F9" s="12">
        <v>2641.04</v>
      </c>
      <c r="G9" s="13">
        <v>6388</v>
      </c>
      <c r="H9" s="14">
        <v>2648</v>
      </c>
      <c r="I9" s="12">
        <v>2493.873</v>
      </c>
    </row>
    <row r="10" spans="1:9" ht="23.25">
      <c r="A10" s="8">
        <v>269</v>
      </c>
      <c r="B10" s="8" t="s">
        <v>15</v>
      </c>
      <c r="C10" s="9">
        <v>11.83</v>
      </c>
      <c r="D10" s="10">
        <v>7.28</v>
      </c>
      <c r="E10" s="11" t="s">
        <v>21</v>
      </c>
      <c r="F10" s="12">
        <v>3703.7</v>
      </c>
      <c r="G10" s="13">
        <v>8104</v>
      </c>
      <c r="H10" s="14">
        <v>3712</v>
      </c>
      <c r="I10" s="12">
        <v>3596.02</v>
      </c>
    </row>
    <row r="11" spans="1:9" ht="23.25">
      <c r="A11" s="8">
        <v>273</v>
      </c>
      <c r="B11" s="8" t="s">
        <v>22</v>
      </c>
      <c r="C11" s="9">
        <v>13.09</v>
      </c>
      <c r="D11" s="10">
        <v>7.54</v>
      </c>
      <c r="E11" s="11" t="s">
        <v>23</v>
      </c>
      <c r="F11" s="12">
        <v>4306.6000000000004</v>
      </c>
      <c r="G11" s="13">
        <v>10210</v>
      </c>
      <c r="H11" s="14">
        <v>4640</v>
      </c>
      <c r="I11" s="12">
        <v>4009.1970000000001</v>
      </c>
    </row>
    <row r="12" spans="1:9" ht="23.25">
      <c r="A12" s="8">
        <v>279</v>
      </c>
      <c r="B12" s="8" t="s">
        <v>24</v>
      </c>
      <c r="C12" s="9">
        <v>26</v>
      </c>
      <c r="D12" s="10">
        <v>7.33</v>
      </c>
      <c r="E12" s="16" t="s">
        <v>25</v>
      </c>
      <c r="F12" s="12">
        <v>8810.8000000000011</v>
      </c>
      <c r="G12" s="13">
        <v>14210</v>
      </c>
      <c r="H12" s="14">
        <v>9120</v>
      </c>
      <c r="I12" s="12">
        <v>6805.1229999999996</v>
      </c>
    </row>
  </sheetData>
  <sortState xmlns:xlrd2="http://schemas.microsoft.com/office/spreadsheetml/2017/richdata2" ref="A2:I12">
    <sortCondition ref="I2:I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5F44-F2D7-4860-93D9-1B4A185F95C6}">
  <dimension ref="A1:W10"/>
  <sheetViews>
    <sheetView tabSelected="1" workbookViewId="0">
      <selection activeCell="K14" sqref="K14"/>
    </sheetView>
  </sheetViews>
  <sheetFormatPr defaultRowHeight="15"/>
  <cols>
    <col min="1" max="1" width="5.28515625" style="18" bestFit="1" customWidth="1"/>
    <col min="2" max="2" width="5" style="18" bestFit="1" customWidth="1"/>
    <col min="3" max="3" width="19.7109375" style="18" bestFit="1" customWidth="1"/>
    <col min="4" max="4" width="7.140625" style="18" bestFit="1" customWidth="1"/>
    <col min="5" max="5" width="5.85546875" style="18" bestFit="1" customWidth="1"/>
    <col min="6" max="6" width="9.7109375" style="18" bestFit="1" customWidth="1"/>
    <col min="7" max="7" width="11" style="18" bestFit="1" customWidth="1"/>
    <col min="8" max="9" width="9.7109375" style="18" bestFit="1" customWidth="1"/>
    <col min="10" max="10" width="8.140625" style="18" bestFit="1" customWidth="1"/>
    <col min="11" max="11" width="7.7109375" style="18" bestFit="1" customWidth="1"/>
    <col min="12" max="12" width="8.7109375" style="18" bestFit="1" customWidth="1"/>
    <col min="13" max="13" width="7.140625" style="18" bestFit="1" customWidth="1"/>
    <col min="14" max="16384" width="9.140625" style="18"/>
  </cols>
  <sheetData>
    <row r="1" spans="1:23" ht="15.75">
      <c r="A1" s="19" t="s">
        <v>0</v>
      </c>
      <c r="B1" s="19" t="s">
        <v>26</v>
      </c>
      <c r="C1" s="19" t="s">
        <v>1</v>
      </c>
      <c r="D1" s="19" t="s">
        <v>2</v>
      </c>
      <c r="E1" s="19" t="s">
        <v>3</v>
      </c>
      <c r="F1" s="19" t="s">
        <v>6</v>
      </c>
      <c r="G1" s="19" t="s">
        <v>5</v>
      </c>
      <c r="H1" s="19" t="s">
        <v>7</v>
      </c>
      <c r="I1" s="19" t="s">
        <v>8</v>
      </c>
      <c r="J1" s="19" t="s">
        <v>27</v>
      </c>
      <c r="K1" s="19" t="s">
        <v>28</v>
      </c>
      <c r="L1" s="19" t="s">
        <v>29</v>
      </c>
      <c r="M1" s="19" t="s">
        <v>30</v>
      </c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>
      <c r="A2" s="20">
        <v>269</v>
      </c>
      <c r="B2" s="21">
        <v>5</v>
      </c>
      <c r="C2" s="20" t="s">
        <v>15</v>
      </c>
      <c r="D2" s="22">
        <v>11.83</v>
      </c>
      <c r="E2" s="22">
        <v>7.28</v>
      </c>
      <c r="F2" s="23">
        <v>3703.7</v>
      </c>
      <c r="G2" s="23">
        <v>8104</v>
      </c>
      <c r="H2" s="23">
        <v>3712</v>
      </c>
      <c r="I2" s="23">
        <v>3596.02</v>
      </c>
      <c r="J2" s="21">
        <f>LOG(F2)</f>
        <v>3.5686358015463138</v>
      </c>
      <c r="K2" s="21">
        <f t="shared" ref="K2:M2" si="0">LOG(G2)</f>
        <v>3.9086994323522242</v>
      </c>
      <c r="L2" s="21">
        <f t="shared" si="0"/>
        <v>3.5696079675468244</v>
      </c>
      <c r="M2" s="21">
        <f t="shared" si="0"/>
        <v>3.5558220984854079</v>
      </c>
    </row>
    <row r="3" spans="1:23" ht="15.75">
      <c r="A3" s="20">
        <v>270</v>
      </c>
      <c r="B3" s="21">
        <v>5</v>
      </c>
      <c r="C3" s="20" t="s">
        <v>15</v>
      </c>
      <c r="D3" s="22">
        <v>7.18</v>
      </c>
      <c r="E3" s="22">
        <v>7.13</v>
      </c>
      <c r="F3" s="23">
        <v>1416.18</v>
      </c>
      <c r="G3" s="23">
        <v>3475</v>
      </c>
      <c r="H3" s="23">
        <v>1268</v>
      </c>
      <c r="I3" s="24">
        <v>1295.0999999999999</v>
      </c>
      <c r="J3" s="21">
        <f t="shared" ref="J3:J10" si="1">LOG(F3)</f>
        <v>3.1511184567707984</v>
      </c>
      <c r="K3" s="21">
        <f t="shared" ref="K3:K10" si="2">LOG(G3)</f>
        <v>3.5409548089261329</v>
      </c>
      <c r="L3" s="21">
        <f t="shared" ref="L3:L10" si="3">LOG(H3)</f>
        <v>3.1031192535457137</v>
      </c>
      <c r="M3" s="21">
        <f t="shared" ref="M3:M10" si="4">LOG(I3)</f>
        <v>3.11230330337593</v>
      </c>
    </row>
    <row r="4" spans="1:23">
      <c r="A4" s="20">
        <v>271</v>
      </c>
      <c r="B4" s="21">
        <v>5</v>
      </c>
      <c r="C4" s="20" t="s">
        <v>15</v>
      </c>
      <c r="D4" s="22">
        <v>7.77</v>
      </c>
      <c r="E4" s="22">
        <v>7.25</v>
      </c>
      <c r="F4" s="23">
        <v>2085.6</v>
      </c>
      <c r="G4" s="23">
        <v>4795</v>
      </c>
      <c r="H4" s="23">
        <v>2000</v>
      </c>
      <c r="I4" s="23">
        <v>1929.37</v>
      </c>
      <c r="J4" s="21">
        <f t="shared" si="1"/>
        <v>3.3192310181602727</v>
      </c>
      <c r="K4" s="21">
        <f t="shared" si="2"/>
        <v>3.6807886115066824</v>
      </c>
      <c r="L4" s="21">
        <f t="shared" si="3"/>
        <v>3.3010299956639813</v>
      </c>
      <c r="M4" s="21">
        <f t="shared" si="4"/>
        <v>3.2854155213450054</v>
      </c>
    </row>
    <row r="5" spans="1:23" ht="15.75">
      <c r="A5" s="20">
        <v>272</v>
      </c>
      <c r="B5" s="21">
        <v>5</v>
      </c>
      <c r="C5" s="20" t="s">
        <v>15</v>
      </c>
      <c r="D5" s="22">
        <v>5.38</v>
      </c>
      <c r="E5" s="22">
        <v>7.36</v>
      </c>
      <c r="F5" s="23">
        <v>1414.6</v>
      </c>
      <c r="G5" s="23">
        <v>3355</v>
      </c>
      <c r="H5" s="23">
        <v>1300</v>
      </c>
      <c r="I5" s="24">
        <v>1283.04</v>
      </c>
      <c r="J5" s="21">
        <f t="shared" si="1"/>
        <v>3.1506336537464281</v>
      </c>
      <c r="K5" s="21">
        <f t="shared" si="2"/>
        <v>3.5256925245050108</v>
      </c>
      <c r="L5" s="21">
        <f t="shared" si="3"/>
        <v>3.1139433523068369</v>
      </c>
      <c r="M5" s="21">
        <f t="shared" si="4"/>
        <v>3.1082401961321242</v>
      </c>
    </row>
    <row r="6" spans="1:23">
      <c r="A6" s="20">
        <v>273</v>
      </c>
      <c r="B6" s="21">
        <v>5</v>
      </c>
      <c r="C6" s="20" t="s">
        <v>22</v>
      </c>
      <c r="D6" s="22">
        <v>13.09</v>
      </c>
      <c r="E6" s="22">
        <v>7.54</v>
      </c>
      <c r="F6" s="23">
        <v>4306.6000000000004</v>
      </c>
      <c r="G6" s="23">
        <v>10210</v>
      </c>
      <c r="H6" s="23">
        <v>4640</v>
      </c>
      <c r="I6" s="23">
        <v>4009.2</v>
      </c>
      <c r="J6" s="21">
        <f t="shared" si="1"/>
        <v>3.6341345360625708</v>
      </c>
      <c r="K6" s="21">
        <f t="shared" si="2"/>
        <v>4.0090257420869104</v>
      </c>
      <c r="L6" s="21">
        <f t="shared" si="3"/>
        <v>3.6665179805548807</v>
      </c>
      <c r="M6" s="21">
        <f t="shared" si="4"/>
        <v>3.6030577216857562</v>
      </c>
    </row>
    <row r="7" spans="1:23">
      <c r="A7" s="20">
        <v>274</v>
      </c>
      <c r="B7" s="21">
        <v>5</v>
      </c>
      <c r="C7" s="20" t="s">
        <v>18</v>
      </c>
      <c r="D7" s="22">
        <v>6.71</v>
      </c>
      <c r="E7" s="22">
        <v>7.68</v>
      </c>
      <c r="F7" s="23">
        <v>2319.9899999999998</v>
      </c>
      <c r="G7" s="23">
        <v>5833</v>
      </c>
      <c r="H7" s="23">
        <v>2176</v>
      </c>
      <c r="I7" s="23">
        <v>2148.79</v>
      </c>
      <c r="J7" s="21">
        <f t="shared" si="1"/>
        <v>3.3654861129278917</v>
      </c>
      <c r="K7" s="21">
        <f t="shared" si="2"/>
        <v>3.7658919764300154</v>
      </c>
      <c r="L7" s="21">
        <f t="shared" si="3"/>
        <v>3.3376588910261424</v>
      </c>
      <c r="M7" s="21">
        <f t="shared" si="4"/>
        <v>3.3321939742175455</v>
      </c>
    </row>
    <row r="8" spans="1:23" ht="15.75">
      <c r="A8" s="20">
        <v>275</v>
      </c>
      <c r="B8" s="21">
        <v>5</v>
      </c>
      <c r="C8" s="20" t="s">
        <v>13</v>
      </c>
      <c r="D8" s="22">
        <v>4.2300000000000004</v>
      </c>
      <c r="E8" s="22">
        <v>7.66</v>
      </c>
      <c r="F8" s="23">
        <v>1229.04</v>
      </c>
      <c r="G8" s="23">
        <v>3129</v>
      </c>
      <c r="H8" s="23">
        <v>1180</v>
      </c>
      <c r="I8" s="24">
        <v>1123.47</v>
      </c>
      <c r="J8" s="21">
        <f t="shared" si="1"/>
        <v>3.089566017546002</v>
      </c>
      <c r="K8" s="21">
        <f t="shared" si="2"/>
        <v>3.4954055631461931</v>
      </c>
      <c r="L8" s="21">
        <f t="shared" si="3"/>
        <v>3.0718820073061255</v>
      </c>
      <c r="M8" s="21">
        <f t="shared" si="4"/>
        <v>3.0505614799519347</v>
      </c>
    </row>
    <row r="9" spans="1:23">
      <c r="A9" s="20">
        <v>278</v>
      </c>
      <c r="B9" s="21">
        <v>5</v>
      </c>
      <c r="C9" s="20" t="s">
        <v>9</v>
      </c>
      <c r="D9" s="22">
        <v>7.89</v>
      </c>
      <c r="E9" s="22">
        <v>7.9</v>
      </c>
      <c r="F9" s="23">
        <v>2641.04</v>
      </c>
      <c r="G9" s="23">
        <v>6388</v>
      </c>
      <c r="H9" s="23">
        <v>2648</v>
      </c>
      <c r="I9" s="23">
        <v>2493.87</v>
      </c>
      <c r="J9" s="21">
        <f t="shared" si="1"/>
        <v>3.4217749788849714</v>
      </c>
      <c r="K9" s="21">
        <f t="shared" si="2"/>
        <v>3.8053649074664455</v>
      </c>
      <c r="L9" s="21">
        <f t="shared" si="3"/>
        <v>3.4229179807676622</v>
      </c>
      <c r="M9" s="21">
        <f t="shared" si="4"/>
        <v>3.3968738109091055</v>
      </c>
    </row>
    <row r="10" spans="1:23">
      <c r="A10" s="20">
        <v>279</v>
      </c>
      <c r="B10" s="21">
        <v>5</v>
      </c>
      <c r="C10" s="20" t="s">
        <v>24</v>
      </c>
      <c r="D10" s="22">
        <v>26</v>
      </c>
      <c r="E10" s="22">
        <v>7.33</v>
      </c>
      <c r="F10" s="23">
        <v>8810.7999999999993</v>
      </c>
      <c r="G10" s="23">
        <v>14210</v>
      </c>
      <c r="H10" s="23">
        <v>9120</v>
      </c>
      <c r="I10" s="23">
        <v>6805.12</v>
      </c>
      <c r="J10" s="21">
        <f t="shared" si="1"/>
        <v>3.9450153431239521</v>
      </c>
      <c r="K10" s="21">
        <f t="shared" si="2"/>
        <v>4.1525940779274695</v>
      </c>
      <c r="L10" s="21">
        <f t="shared" si="3"/>
        <v>3.959994838328416</v>
      </c>
      <c r="M10" s="21">
        <f t="shared" si="4"/>
        <v>3.8328357878609305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Alvarez Torres, Beverly</cp:lastModifiedBy>
  <cp:revision/>
  <dcterms:created xsi:type="dcterms:W3CDTF">2023-10-03T06:16:09Z</dcterms:created>
  <dcterms:modified xsi:type="dcterms:W3CDTF">2026-01-17T19:16:32Z</dcterms:modified>
  <cp:category/>
  <cp:contentStatus/>
</cp:coreProperties>
</file>